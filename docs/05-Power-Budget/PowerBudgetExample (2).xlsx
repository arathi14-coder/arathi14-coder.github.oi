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E60B3733-F6BE-4668-9398-F5BBB0899F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wer Budget" sheetId="1" r:id="rId1"/>
  </sheets>
  <definedNames>
    <definedName name="_xlnm.Print_Area" localSheetId="0">'Power Budget'!$A$1:$H$34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16" i="1"/>
  <c r="G18" i="1" s="1"/>
  <c r="G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  <family val="2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<sst xmlns="http://schemas.openxmlformats.org/spreadsheetml/2006/main" count="83" uniqueCount="50">
  <si>
    <t>Power Budget Example</t>
  </si>
  <si>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</si>
  <si>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</si>
  <si>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</si>
  <si>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</si>
  <si>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</si>
  <si>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</si>
  <si>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</si>
  <si>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</si>
  <si>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</si>
  <si>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</si>
  <si>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</si>
  <si>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</si>
  <si>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Solenoid</t>
  </si>
  <si>
    <t>mA</t>
  </si>
  <si>
    <t xml:space="preserve"> +5V - 35V</t>
  </si>
  <si>
    <t xml:space="preserve">Subtotal </t>
  </si>
  <si>
    <t>Safety Margin</t>
  </si>
  <si>
    <t xml:space="preserve"> +5V Power Rail</t>
  </si>
  <si>
    <t>Total Current Required on +5V Rail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</si>
  <si>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</si>
  <si>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</si>
  <si>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</si>
  <si>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</si>
  <si>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</si>
  <si>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</si>
  <si>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</si>
  <si>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</si>
  <si>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</si>
  <si>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</si>
  <si>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</si>
  <si>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Total Current
(mA)</t>
  </si>
  <si>
    <t>Absolute Maximum Current (mA)</t>
  </si>
  <si>
    <t>Notes:</t>
  </si>
  <si>
    <t>SparkFun 11015</t>
  </si>
  <si>
    <t>5V</t>
  </si>
  <si>
    <t>5V, 2.2 A Regulator</t>
  </si>
  <si>
    <t>MSR5-0R005F1</t>
  </si>
  <si>
    <t>Ayush, Armando and Manny</t>
  </si>
  <si>
    <t>V2</t>
  </si>
  <si>
    <t>EGR 304 - Sparkguard</t>
  </si>
  <si>
    <t>PIC18F57Q43 Curiosity Nano</t>
  </si>
  <si>
    <t>PIC18F57Q43</t>
  </si>
  <si>
    <t>RED LED</t>
  </si>
  <si>
    <t>754-1105-ND</t>
  </si>
  <si>
    <t>H-Bridge driver</t>
  </si>
  <si>
    <t>FAN8100N</t>
  </si>
  <si>
    <t>5 V</t>
  </si>
  <si>
    <t>KSAS0050900050VUD</t>
  </si>
  <si>
    <t>120VAC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</si>
</sst>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8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2" fillId="0" borderId="35" xfId="0" applyFont="1" applyBorder="1" applyAlignment="1">
      <alignment wrapText="1"/>
    </xf>
    <xf numFmtId="0" fontId="2" fillId="4" borderId="25" xfId="0" applyFont="1" applyFill="1" applyBorder="1" applyAlignment="1">
      <alignment horizontal="left" wrapText="1"/>
    </xf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23" xfId="0" applyFont="1" applyBorder="1"/>
    <xf numFmtId="49" fontId="5" fillId="0" borderId="32" xfId="0" applyNumberFormat="1" applyFont="1" applyBorder="1" applyAlignment="1">
      <alignment horizontal="right"/>
    </xf>
    <xf numFmtId="0" fontId="5" fillId="2" borderId="33" xfId="0" applyFont="1" applyFill="1" applyBorder="1"/>
    <xf numFmtId="49" fontId="5" fillId="0" borderId="8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4" borderId="26" xfId="0" applyFont="1" applyFill="1" applyBorder="1" applyAlignment="1">
      <alignment horizontal="left" wrapText="1"/>
    </xf>
    <xf numFmtId="0" fontId="2" fillId="4" borderId="37" xfId="0" applyFont="1" applyFill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5" fillId="2" borderId="31" xfId="0" applyFont="1" applyFill="1" applyBorder="1"/>
    <xf numFmtId="49" fontId="5" fillId="0" borderId="39" xfId="0" applyNumberFormat="1" applyFont="1" applyBorder="1" applyAlignment="1">
      <alignment horizontal="right"/>
    </xf>
    <xf numFmtId="49" fontId="5" fillId="0" borderId="40" xfId="0" applyNumberFormat="1" applyFont="1" applyBorder="1" applyAlignment="1">
      <alignment horizontal="right"/>
    </xf>
    <xf numFmtId="0" fontId="2" fillId="0" borderId="30" xfId="0" applyFont="1" applyBorder="1"/>
    <xf numFmtId="0" fontId="0" fillId="0" borderId="4" xfId="0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/>
    <xf numFmtId="0" fontId="2" fillId="0" borderId="29" xfId="0" applyFont="1" applyBorder="1"/>
    <xf numFmtId="0" fontId="2" fillId="0" borderId="4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3" fillId="0" borderId="1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39"/>
  <sheetViews>
    <sheetView tabSelected="1" zoomScale="70" zoomScaleNormal="66" workbookViewId="0">
      <selection activeCell="K23" sqref="K23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63" t="s">
        <v>0</v>
      </c>
      <c r="B1" s="64"/>
      <c r="C1" s="64"/>
      <c r="D1" s="64"/>
      <c r="E1" s="64"/>
      <c r="F1" s="64"/>
      <c r="G1" s="64"/>
      <c r="H1" s="64"/>
    </row>
    <row r="2" spans="1:8" ht="15" customHeight="1" x14ac:dyDescent="0.5">
      <c r="A2" s="10" t="s">
        <v>1</v>
      </c>
      <c r="B2" s="11">
        <v>203</v>
      </c>
      <c r="D2" s="2"/>
      <c r="E2" s="2"/>
    </row>
    <row r="3" spans="1:8" ht="15" customHeight="1" x14ac:dyDescent="0.5">
      <c r="A3" s="10" t="s">
        <v>2</v>
      </c>
      <c r="B3" s="12" t="s">
        <v>40</v>
      </c>
      <c r="C3" s="3"/>
      <c r="D3" s="2"/>
      <c r="E3" s="2"/>
      <c r="F3" s="2"/>
      <c r="G3" s="2"/>
      <c r="H3" s="2"/>
    </row>
    <row r="4" spans="1:8" ht="15" customHeight="1" x14ac:dyDescent="0.5">
      <c r="A4" s="10" t="s">
        <v>3</v>
      </c>
      <c r="B4" s="12" t="s">
        <v>38</v>
      </c>
      <c r="C4" s="3"/>
      <c r="D4" s="2"/>
      <c r="E4" s="2"/>
      <c r="F4" s="2"/>
      <c r="G4" s="2"/>
      <c r="H4" s="2"/>
    </row>
    <row r="5" spans="1:8" ht="15" customHeight="1" x14ac:dyDescent="0.5">
      <c r="A5" s="10" t="s">
        <v>4</v>
      </c>
      <c r="B5" s="12" t="s">
        <v>39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65" t="s">
        <v>5</v>
      </c>
      <c r="B7" s="66"/>
      <c r="C7" s="66"/>
      <c r="D7" s="66"/>
      <c r="E7" s="66"/>
      <c r="F7" s="66"/>
      <c r="G7" s="66"/>
      <c r="H7" s="67"/>
    </row>
    <row r="8" spans="1:8" ht="47.65" thickBot="1" x14ac:dyDescent="0.55000000000000004">
      <c r="A8" s="16" t="s">
        <v>6</v>
      </c>
      <c r="B8" s="17" t="s">
        <v>7</v>
      </c>
      <c r="C8" s="17" t="s">
        <v>8</v>
      </c>
      <c r="D8" s="18" t="s">
        <v>29</v>
      </c>
      <c r="E8" s="17" t="s">
        <v>30</v>
      </c>
      <c r="F8" s="18" t="s">
        <v>32</v>
      </c>
      <c r="G8" s="18" t="s">
        <v>31</v>
      </c>
      <c r="H8" s="17" t="s">
        <v>12</v>
      </c>
    </row>
    <row r="9" spans="1:8" ht="15" customHeight="1" x14ac:dyDescent="0.5">
      <c r="A9" s="21" t="s">
        <v>13</v>
      </c>
      <c r="B9" t="s">
        <v>34</v>
      </c>
      <c r="C9" s="22" t="s">
        <v>35</v>
      </c>
      <c r="D9" s="22">
        <v>1</v>
      </c>
      <c r="E9" s="22">
        <v>1100</v>
      </c>
      <c r="F9" s="22">
        <v>1100</v>
      </c>
      <c r="G9" s="22">
        <v>1100</v>
      </c>
      <c r="H9" s="24" t="s">
        <v>14</v>
      </c>
    </row>
    <row r="10" spans="1:8" ht="15" customHeight="1" x14ac:dyDescent="0.5">
      <c r="A10" t="s">
        <v>36</v>
      </c>
      <c r="B10" s="1" t="s">
        <v>37</v>
      </c>
      <c r="C10" s="13" t="s">
        <v>15</v>
      </c>
      <c r="D10" s="1">
        <v>1</v>
      </c>
      <c r="E10" s="5">
        <v>2200</v>
      </c>
      <c r="F10" s="5">
        <v>2200</v>
      </c>
      <c r="G10" s="5">
        <v>2200</v>
      </c>
      <c r="H10" s="25" t="s">
        <v>14</v>
      </c>
    </row>
    <row r="11" spans="1:8" ht="15" customHeight="1" thickBot="1" x14ac:dyDescent="0.55000000000000004">
      <c r="A11" s="31" t="s">
        <v>18</v>
      </c>
      <c r="B11" s="17" t="s">
        <v>7</v>
      </c>
      <c r="C11" s="17" t="s">
        <v>8</v>
      </c>
      <c r="D11" s="18" t="s">
        <v>9</v>
      </c>
      <c r="E11" s="17" t="s">
        <v>30</v>
      </c>
      <c r="F11" s="18" t="s">
        <v>10</v>
      </c>
      <c r="G11" s="18" t="s">
        <v>11</v>
      </c>
      <c r="H11" s="17" t="s">
        <v>12</v>
      </c>
    </row>
    <row r="12" spans="1:8" ht="15" customHeight="1" x14ac:dyDescent="0.5">
      <c r="A12" s="4"/>
      <c r="B12" s="19" t="s">
        <v>41</v>
      </c>
      <c r="C12" s="14" t="s">
        <v>42</v>
      </c>
      <c r="D12" s="77" t="s">
        <v>35</v>
      </c>
      <c r="E12" s="78">
        <v>1</v>
      </c>
      <c r="F12" s="78">
        <v>50</v>
      </c>
      <c r="G12" s="78">
        <v>50</v>
      </c>
      <c r="H12" s="78" t="s">
        <v>14</v>
      </c>
    </row>
    <row r="13" spans="1:8" ht="15" customHeight="1" thickBot="1" x14ac:dyDescent="0.55000000000000004">
      <c r="A13" s="4"/>
      <c r="B13" s="75" t="s">
        <v>43</v>
      </c>
      <c r="C13" s="19" t="s">
        <v>44</v>
      </c>
      <c r="D13" s="15" t="s">
        <v>35</v>
      </c>
      <c r="E13" s="78">
        <v>1</v>
      </c>
      <c r="F13" s="78">
        <v>20</v>
      </c>
      <c r="G13" s="78">
        <v>20</v>
      </c>
      <c r="H13" s="79" t="s">
        <v>14</v>
      </c>
    </row>
    <row r="14" spans="1:8" ht="15" customHeight="1" x14ac:dyDescent="0.5">
      <c r="A14" s="4"/>
      <c r="B14" s="21" t="s">
        <v>13</v>
      </c>
      <c r="C14" s="76" t="s">
        <v>34</v>
      </c>
      <c r="D14" s="22" t="s">
        <v>35</v>
      </c>
      <c r="E14" s="77">
        <v>1</v>
      </c>
      <c r="F14" s="77">
        <v>1100</v>
      </c>
      <c r="G14" s="77">
        <v>1100</v>
      </c>
      <c r="H14" s="80" t="s">
        <v>14</v>
      </c>
    </row>
    <row r="15" spans="1:8" ht="15" customHeight="1" thickBot="1" x14ac:dyDescent="0.55000000000000004">
      <c r="A15" s="4"/>
      <c r="B15" s="81" t="s">
        <v>45</v>
      </c>
      <c r="C15" s="82" t="s">
        <v>46</v>
      </c>
      <c r="D15" s="83" t="s">
        <v>47</v>
      </c>
      <c r="E15" s="83">
        <v>1</v>
      </c>
      <c r="F15" s="83">
        <v>65</v>
      </c>
      <c r="G15" s="83">
        <v>65</v>
      </c>
      <c r="H15" s="83" t="s">
        <v>14</v>
      </c>
    </row>
    <row r="16" spans="1:8" ht="15" customHeight="1" thickTop="1" x14ac:dyDescent="0.5">
      <c r="A16" s="4"/>
      <c r="B16" s="19"/>
      <c r="C16" s="19"/>
      <c r="D16" s="53" t="s">
        <v>16</v>
      </c>
      <c r="E16" s="53"/>
      <c r="F16" s="53"/>
      <c r="G16" s="84">
        <f>SUM(G12:G15)</f>
        <v>1235</v>
      </c>
      <c r="H16" s="84" t="s">
        <v>14</v>
      </c>
    </row>
    <row r="17" spans="1:9" ht="16.149999999999999" thickBot="1" x14ac:dyDescent="0.55000000000000004">
      <c r="A17" s="4"/>
      <c r="D17" s="54" t="s">
        <v>17</v>
      </c>
      <c r="E17" s="54"/>
      <c r="F17" s="54"/>
      <c r="G17" s="85">
        <v>0.25</v>
      </c>
      <c r="H17" s="85"/>
    </row>
    <row r="18" spans="1:9" ht="15" customHeight="1" thickTop="1" x14ac:dyDescent="0.5">
      <c r="A18" s="6"/>
      <c r="D18" s="53" t="s">
        <v>19</v>
      </c>
      <c r="E18" s="53"/>
      <c r="F18" s="53"/>
      <c r="G18" s="84">
        <f>G16*(1+G17)</f>
        <v>1543.75</v>
      </c>
      <c r="H18" s="84" t="s">
        <v>14</v>
      </c>
    </row>
    <row r="19" spans="1:9" ht="15" customHeight="1" x14ac:dyDescent="0.5">
      <c r="A19" s="7"/>
      <c r="B19" s="27"/>
      <c r="C19" s="27"/>
      <c r="D19" s="28"/>
      <c r="E19" s="28"/>
      <c r="F19" s="28"/>
      <c r="G19" s="9"/>
      <c r="H19" s="9"/>
    </row>
    <row r="20" spans="1:9" ht="15" customHeight="1" thickBot="1" x14ac:dyDescent="0.55000000000000004">
      <c r="A20" s="3" t="s">
        <v>36</v>
      </c>
      <c r="B20" s="3" t="s">
        <v>37</v>
      </c>
      <c r="C20" s="86" t="s">
        <v>15</v>
      </c>
      <c r="D20" s="3">
        <v>1</v>
      </c>
      <c r="E20" s="2">
        <v>2200</v>
      </c>
      <c r="F20" s="87">
        <v>2200</v>
      </c>
      <c r="G20" s="87">
        <v>2200</v>
      </c>
      <c r="H20" s="87" t="s">
        <v>14</v>
      </c>
    </row>
    <row r="21" spans="1:9" ht="15" customHeight="1" thickTop="1" x14ac:dyDescent="0.5">
      <c r="A21" s="29"/>
      <c r="B21" s="62" t="s">
        <v>20</v>
      </c>
      <c r="C21" s="62"/>
      <c r="D21" s="62"/>
      <c r="E21" s="62"/>
      <c r="F21" s="62"/>
      <c r="G21" s="84">
        <f>G20-G18</f>
        <v>656.25</v>
      </c>
      <c r="H21" s="84" t="s">
        <v>14</v>
      </c>
    </row>
    <row r="22" spans="1:9" ht="15" customHeight="1" thickBot="1" x14ac:dyDescent="0.55000000000000004">
      <c r="A22" s="42"/>
      <c r="B22" s="43"/>
      <c r="C22" s="44"/>
      <c r="D22" s="44"/>
      <c r="E22" s="44"/>
      <c r="F22" s="44"/>
      <c r="G22" s="45"/>
      <c r="H22" s="45"/>
    </row>
    <row r="23" spans="1:9" ht="15" customHeight="1" thickBot="1" x14ac:dyDescent="0.55000000000000004">
      <c r="A23" s="33" t="s">
        <v>21</v>
      </c>
      <c r="B23" s="34" t="s">
        <v>7</v>
      </c>
      <c r="C23" s="34" t="s">
        <v>8</v>
      </c>
      <c r="D23" s="35" t="s">
        <v>9</v>
      </c>
      <c r="E23" s="35" t="s">
        <v>22</v>
      </c>
      <c r="F23" s="35" t="s">
        <v>10</v>
      </c>
      <c r="G23" s="35" t="s">
        <v>11</v>
      </c>
      <c r="H23" s="36" t="s">
        <v>12</v>
      </c>
    </row>
    <row r="24" spans="1:9" ht="15" customHeight="1" x14ac:dyDescent="0.5">
      <c r="A24" s="37" t="s">
        <v>23</v>
      </c>
      <c r="B24" s="32" t="s">
        <v>24</v>
      </c>
      <c r="C24" s="1" t="s">
        <v>48</v>
      </c>
      <c r="D24" s="15" t="s">
        <v>49</v>
      </c>
      <c r="E24" s="15">
        <v>9</v>
      </c>
      <c r="F24" s="15">
        <v>3000</v>
      </c>
      <c r="G24" s="15">
        <v>3000</v>
      </c>
      <c r="H24" s="38" t="s">
        <v>14</v>
      </c>
    </row>
    <row r="25" spans="1:9" x14ac:dyDescent="0.5">
      <c r="A25" s="39"/>
      <c r="B25" s="30"/>
      <c r="C25" s="30"/>
      <c r="D25" s="13"/>
      <c r="E25" s="13"/>
      <c r="F25" s="13"/>
      <c r="G25" s="13"/>
      <c r="H25" s="25"/>
    </row>
    <row r="26" spans="1:9" ht="15" customHeight="1" x14ac:dyDescent="0.5">
      <c r="A26" s="57" t="s">
        <v>25</v>
      </c>
      <c r="B26" s="30"/>
      <c r="C26" s="30"/>
      <c r="D26" s="13"/>
      <c r="E26" s="13"/>
      <c r="F26" s="13"/>
      <c r="G26" s="13"/>
      <c r="H26" s="25"/>
    </row>
    <row r="27" spans="1:9" s="19" customFormat="1" ht="15" customHeight="1" thickBot="1" x14ac:dyDescent="0.55000000000000004">
      <c r="A27" s="58"/>
      <c r="B27" s="3" t="s">
        <v>36</v>
      </c>
      <c r="C27" s="1" t="s">
        <v>37</v>
      </c>
      <c r="D27" s="13" t="s">
        <v>15</v>
      </c>
      <c r="E27" s="1">
        <v>1</v>
      </c>
      <c r="F27" s="5">
        <v>2200</v>
      </c>
      <c r="G27" s="26">
        <v>2200</v>
      </c>
      <c r="H27" s="25" t="s">
        <v>14</v>
      </c>
    </row>
    <row r="28" spans="1:9" ht="16.5" thickTop="1" thickBot="1" x14ac:dyDescent="0.55000000000000004">
      <c r="A28" s="59"/>
      <c r="B28" s="49"/>
      <c r="C28" s="50"/>
      <c r="D28" s="51"/>
      <c r="E28" s="51"/>
      <c r="F28" s="51"/>
      <c r="G28" s="51"/>
      <c r="H28" s="52"/>
    </row>
    <row r="29" spans="1:9" ht="15" customHeight="1" thickTop="1" thickBot="1" x14ac:dyDescent="0.55000000000000004">
      <c r="A29" s="73" t="s">
        <v>26</v>
      </c>
      <c r="B29" s="74"/>
      <c r="C29" s="74"/>
      <c r="D29" s="74"/>
      <c r="E29" s="74"/>
      <c r="F29" s="60"/>
      <c r="G29" s="40">
        <f>G24-SUM(G26:G28)</f>
        <v>800</v>
      </c>
      <c r="H29" s="41" t="s">
        <v>14</v>
      </c>
    </row>
    <row r="30" spans="1:9" ht="15" customHeight="1" x14ac:dyDescent="0.5">
      <c r="A30" s="8"/>
      <c r="B30" s="20"/>
      <c r="C30" s="20"/>
      <c r="D30" s="20"/>
      <c r="E30" s="20"/>
      <c r="F30" s="20"/>
      <c r="G30" s="46"/>
      <c r="H30" s="46"/>
    </row>
    <row r="31" spans="1:9" ht="15" customHeight="1" thickBot="1" x14ac:dyDescent="0.55000000000000004">
      <c r="A31" s="19"/>
      <c r="D31" s="5"/>
      <c r="E31" s="5"/>
      <c r="F31" s="23"/>
      <c r="G31" s="28"/>
      <c r="H31" s="28"/>
    </row>
    <row r="32" spans="1:9" ht="15" customHeight="1" x14ac:dyDescent="0.5">
      <c r="A32" s="61" t="s">
        <v>33</v>
      </c>
      <c r="B32" s="72"/>
      <c r="C32" s="72"/>
      <c r="D32" s="72"/>
      <c r="E32" s="72"/>
      <c r="F32" s="72"/>
      <c r="G32" s="47"/>
      <c r="H32" s="48"/>
      <c r="I32" s="19"/>
    </row>
    <row r="33" spans="1:8" ht="15.75" customHeight="1" x14ac:dyDescent="0.5">
      <c r="A33" s="55" t="s">
        <v>27</v>
      </c>
      <c r="B33" s="70"/>
      <c r="C33" s="70"/>
      <c r="D33" s="70"/>
      <c r="E33" s="70"/>
      <c r="F33" s="70"/>
      <c r="G33" s="70"/>
      <c r="H33" s="71"/>
    </row>
    <row r="34" spans="1:8" ht="15" customHeight="1" thickBot="1" x14ac:dyDescent="0.55000000000000004">
      <c r="A34" s="56" t="s">
        <v>28</v>
      </c>
      <c r="B34" s="68"/>
      <c r="C34" s="68"/>
      <c r="D34" s="68"/>
      <c r="E34" s="68"/>
      <c r="F34" s="68"/>
      <c r="G34" s="68"/>
      <c r="H34" s="69"/>
    </row>
    <row r="35" spans="1:8" ht="15" customHeight="1" x14ac:dyDescent="0.5"/>
    <row r="36" spans="1:8" ht="15" customHeight="1" x14ac:dyDescent="0.5"/>
    <row r="37" spans="1:8" ht="15" customHeight="1" x14ac:dyDescent="0.5"/>
    <row r="38" spans="1:8" ht="15" customHeight="1" x14ac:dyDescent="0.5"/>
    <row r="39" spans="1:8" ht="15" customHeight="1" x14ac:dyDescent="0.5"/>
  </sheetData>
  <mergeCells count="11">
    <mergeCell ref="A1:H1"/>
    <mergeCell ref="A7:H7"/>
    <mergeCell ref="A33:H33"/>
    <mergeCell ref="A34:H34"/>
    <mergeCell ref="A26:A28"/>
    <mergeCell ref="A32:F32"/>
    <mergeCell ref="A29:F29"/>
    <mergeCell ref="D16:F16"/>
    <mergeCell ref="D17:F17"/>
    <mergeCell ref="B21:F21"/>
    <mergeCell ref="D18:F18"/>
  </mergeCells>
  <conditionalFormatting sqref="G21:G22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.</cp:lastModifiedBy>
  <cp:lastPrinted>2025-08-22T22:55:28Z</cp:lastPrinted>
  <dcterms:modified xsi:type="dcterms:W3CDTF">2025-12-09T15:14:10Z</dcterms:modified>
</cp:coreProperties>
</file>